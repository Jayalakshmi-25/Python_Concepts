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232" windowHeight="9048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3" l="1"/>
  <c r="E10" i="3"/>
  <c r="E9" i="3"/>
  <c r="E8" i="3"/>
  <c r="E7" i="3"/>
  <c r="I7" i="3" s="1"/>
  <c r="J7" i="3" s="1"/>
  <c r="E6" i="3"/>
  <c r="K6" i="3" s="1"/>
  <c r="L6" i="3" s="1"/>
  <c r="L10" i="3"/>
  <c r="L9" i="3"/>
  <c r="L8" i="3"/>
  <c r="K10" i="3"/>
  <c r="K9" i="3"/>
  <c r="K8" i="3"/>
  <c r="K7" i="3"/>
  <c r="L7" i="3" s="1"/>
  <c r="I10" i="3"/>
  <c r="J10" i="3" s="1"/>
  <c r="I9" i="3"/>
  <c r="J9" i="3" s="1"/>
  <c r="I8" i="3"/>
  <c r="J8" i="3" s="1"/>
  <c r="H11" i="3"/>
  <c r="H10" i="3"/>
  <c r="H9" i="3"/>
  <c r="H8" i="3"/>
  <c r="H7" i="3"/>
  <c r="H6" i="3"/>
  <c r="G10" i="3"/>
  <c r="G9" i="3"/>
  <c r="G8" i="3"/>
  <c r="G7" i="3"/>
  <c r="G6" i="3"/>
  <c r="F6" i="3"/>
  <c r="G26" i="2"/>
  <c r="G24" i="2"/>
  <c r="G23" i="2"/>
  <c r="G22" i="2"/>
  <c r="G21" i="2"/>
  <c r="G20" i="2"/>
  <c r="F24" i="2"/>
  <c r="F23" i="2"/>
  <c r="F22" i="2"/>
  <c r="F21" i="2"/>
  <c r="F20" i="2"/>
  <c r="D24" i="2"/>
  <c r="D23" i="2"/>
  <c r="D22" i="2"/>
  <c r="D21" i="2"/>
  <c r="D20" i="2"/>
  <c r="E16" i="2"/>
  <c r="E11" i="2"/>
  <c r="E12" i="2"/>
  <c r="E13" i="2"/>
  <c r="E14" i="2"/>
  <c r="E10" i="2"/>
  <c r="F10" i="2" s="1"/>
  <c r="F14" i="2"/>
  <c r="F13" i="2"/>
  <c r="F12" i="2"/>
  <c r="F11" i="2"/>
  <c r="D14" i="2"/>
  <c r="D13" i="2"/>
  <c r="D12" i="2"/>
  <c r="D11" i="2"/>
  <c r="D10" i="2"/>
  <c r="L11" i="3" l="1"/>
  <c r="I6" i="3"/>
  <c r="J6" i="3" s="1"/>
  <c r="J11" i="3"/>
</calcChain>
</file>

<file path=xl/sharedStrings.xml><?xml version="1.0" encoding="utf-8"?>
<sst xmlns="http://schemas.openxmlformats.org/spreadsheetml/2006/main" count="54" uniqueCount="28">
  <si>
    <t>Linear Regression</t>
  </si>
  <si>
    <t>Coeffcients calculation using matrix method</t>
  </si>
  <si>
    <t>y</t>
  </si>
  <si>
    <t>mx</t>
  </si>
  <si>
    <t>xm</t>
  </si>
  <si>
    <t>x</t>
  </si>
  <si>
    <t>y=1.3+0.9*x</t>
  </si>
  <si>
    <t>Actual</t>
  </si>
  <si>
    <t>Predicted</t>
  </si>
  <si>
    <t>y hat</t>
  </si>
  <si>
    <t>Total Error</t>
  </si>
  <si>
    <t>Mean Y</t>
  </si>
  <si>
    <t>y-Y average</t>
  </si>
  <si>
    <t>square</t>
  </si>
  <si>
    <t>SST</t>
  </si>
  <si>
    <t>Sum of Squares of Total</t>
  </si>
  <si>
    <t>Sum of squares of Error</t>
  </si>
  <si>
    <t>SSE</t>
  </si>
  <si>
    <t>y predicted</t>
  </si>
  <si>
    <t>y average</t>
  </si>
  <si>
    <t>3.8 units of variation is explained in the model out of 10 units</t>
  </si>
  <si>
    <t>SSR</t>
  </si>
  <si>
    <t>Sum of squares of Regression</t>
  </si>
  <si>
    <t>Ttoal Variation</t>
  </si>
  <si>
    <t xml:space="preserve">explained variation+unexplained </t>
  </si>
  <si>
    <t>SSR/SST</t>
  </si>
  <si>
    <t>R Squared</t>
  </si>
  <si>
    <t>2+0.2308x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</si>
</sst>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Sheet3!$F$47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Sheet3!$E$48:$E$52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</c:numCache>
            </c:numRef>
          </c:xVal>
          <c:yVal>
            <c:numRef>
              <c:f>Sheet3!$F$48:$F$52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2-4C20-B18C-411ECC49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437280"/>
        <c:axId val="357438112"/>
      </c:scatterChart>
      <c:valAx>
        <c:axId val="35743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38112"/>
        <c:crosses val="autoZero"/>
        <c:crossBetween val="midCat"/>
      </c:valAx>
      <c:valAx>
        <c:axId val="35743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3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323385</xdr:colOff>
      <xdr:row>3</xdr:row>
      <xdr:rowOff>85492</xdr:rowOff>
    </xdr:from>
    <xdr:to>
      <xdr:col>5</xdr:col>
      <xdr:colOff>437906</xdr:colOff>
      <xdr:row>7</xdr:row>
      <xdr:rowOff>4702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985" y="631902"/>
          <a:ext cx="2552921" cy="6477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194236</xdr:colOff>
      <xdr:row>22</xdr:row>
      <xdr:rowOff>44824</xdr:rowOff>
    </xdr:from>
    <xdr:to>
      <xdr:col>8</xdr:col>
      <xdr:colOff>198326</xdr:colOff>
      <xdr:row>25</xdr:row>
      <xdr:rowOff>139756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9334" y="4098863"/>
          <a:ext cx="1219306" cy="647756"/>
        </a:xfrm>
        <a:prstGeom prst="rect">
          <a:avLst/>
        </a:prstGeom>
      </xdr:spPr>
    </xdr:pic>
    <xdr:clientData/>
  </xdr:twoCellAnchor>
  <xdr:twoCellAnchor editAs="oneCell">
    <xdr:from>
      <xdr:col>2</xdr:col>
      <xdr:colOff>273918</xdr:colOff>
      <xdr:row>28</xdr:row>
      <xdr:rowOff>132975</xdr:rowOff>
    </xdr:from>
    <xdr:to>
      <xdr:col>12</xdr:col>
      <xdr:colOff>470614</xdr:colOff>
      <xdr:row>44</xdr:row>
      <xdr:rowOff>149920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9134" y="5292661"/>
          <a:ext cx="6412225" cy="2965337"/>
        </a:xfrm>
        <a:prstGeom prst="rect">
          <a:avLst/>
        </a:prstGeom>
      </xdr:spPr>
    </xdr:pic>
    <xdr:clientData/>
  </xdr:twoCellAnchor>
  <xdr:twoCellAnchor>
    <xdr:from>
      <xdr:col>8</xdr:col>
      <xdr:colOff>124510</xdr:colOff>
      <xdr:row>46</xdr:row>
      <xdr:rowOff>179294</xdr:rowOff>
    </xdr:from>
    <xdr:to>
      <xdr:col>12</xdr:col>
      <xdr:colOff>557805</xdr:colOff>
      <xdr:row>55</xdr:row>
      <xdr:rowOff>59766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topLeftCell="A4" zoomScale="205" zoomScaleNormal="205" workbookViewId="0">
      <selection activeCell="E10" sqref="E10"/>
    </sheetView>
  </sheetViews>
  <sheetFormatPr defaultRowHeight="14.4" x14ac:dyDescent="0.3"/>
  <sheetData>
    <row r="2" spans="2:5" x14ac:dyDescent="0.3">
      <c r="B2" t="s">
        <v>0</v>
      </c>
    </row>
    <row r="3" spans="2:5" x14ac:dyDescent="0.3">
      <c r="D3" t="s">
        <v>1</v>
      </c>
    </row>
    <row r="9" spans="2:5" x14ac:dyDescent="0.3">
      <c r="D9" t="s">
        <v>2</v>
      </c>
      <c r="E9" t="s">
        <v>3</v>
      </c>
    </row>
    <row r="10" spans="2:5" x14ac:dyDescent="0.3">
      <c r="D10" t="s">
        <v>2</v>
      </c>
      <c r="E10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topLeftCell="A2" zoomScale="175" zoomScaleNormal="175" workbookViewId="0">
      <selection activeCell="E8" sqref="E8"/>
    </sheetView>
  </sheetViews>
  <sheetFormatPr defaultRowHeight="14.4" x14ac:dyDescent="0.3"/>
  <sheetData>
    <row r="2" spans="2:6" x14ac:dyDescent="0.3">
      <c r="B2" s="2" t="s">
        <v>5</v>
      </c>
      <c r="C2" s="2" t="s">
        <v>2</v>
      </c>
    </row>
    <row r="3" spans="2:6" x14ac:dyDescent="0.3">
      <c r="B3" s="2">
        <v>1</v>
      </c>
      <c r="C3" s="2">
        <v>2</v>
      </c>
      <c r="E3" t="s">
        <v>6</v>
      </c>
    </row>
    <row r="4" spans="2:6" x14ac:dyDescent="0.3">
      <c r="B4" s="2">
        <v>2</v>
      </c>
      <c r="C4" s="2">
        <v>3</v>
      </c>
    </row>
    <row r="5" spans="2:6" x14ac:dyDescent="0.3">
      <c r="B5" s="2">
        <v>3</v>
      </c>
      <c r="C5" s="2">
        <v>5</v>
      </c>
    </row>
    <row r="6" spans="2:6" x14ac:dyDescent="0.3">
      <c r="B6" s="2">
        <v>4</v>
      </c>
      <c r="C6" s="2">
        <v>4</v>
      </c>
    </row>
    <row r="7" spans="2:6" x14ac:dyDescent="0.3">
      <c r="B7" s="2">
        <v>5</v>
      </c>
      <c r="C7" s="2">
        <v>6</v>
      </c>
    </row>
    <row r="8" spans="2:6" x14ac:dyDescent="0.3">
      <c r="C8" t="s">
        <v>7</v>
      </c>
      <c r="D8" t="s">
        <v>8</v>
      </c>
      <c r="E8" t="s">
        <v>6</v>
      </c>
    </row>
    <row r="9" spans="2:6" x14ac:dyDescent="0.3">
      <c r="B9" s="2" t="s">
        <v>5</v>
      </c>
      <c r="C9" s="2" t="s">
        <v>2</v>
      </c>
      <c r="D9" t="s">
        <v>9</v>
      </c>
    </row>
    <row r="10" spans="2:6" x14ac:dyDescent="0.3">
      <c r="B10" s="2">
        <v>1</v>
      </c>
      <c r="C10" s="2">
        <v>2</v>
      </c>
      <c r="D10">
        <f>1.3+0.9*B10</f>
        <v>2.2000000000000002</v>
      </c>
      <c r="E10">
        <f>ABS(C10-D10)</f>
        <v>0.20000000000000018</v>
      </c>
      <c r="F10">
        <f>E10*E10</f>
        <v>4.000000000000007E-2</v>
      </c>
    </row>
    <row r="11" spans="2:6" x14ac:dyDescent="0.3">
      <c r="B11" s="2">
        <v>2</v>
      </c>
      <c r="C11" s="2">
        <v>3</v>
      </c>
      <c r="D11">
        <f t="shared" ref="D11:D14" si="0">1.3+0.9*B11</f>
        <v>3.1</v>
      </c>
      <c r="E11">
        <f t="shared" ref="E11:E14" si="1">ABS(C11-D11)</f>
        <v>0.10000000000000009</v>
      </c>
      <c r="F11">
        <f t="shared" ref="F11:F14" si="2">E11*E11</f>
        <v>1.0000000000000018E-2</v>
      </c>
    </row>
    <row r="12" spans="2:6" x14ac:dyDescent="0.3">
      <c r="B12" s="2">
        <v>3</v>
      </c>
      <c r="C12" s="2">
        <v>5</v>
      </c>
      <c r="D12">
        <f t="shared" si="0"/>
        <v>4</v>
      </c>
      <c r="E12">
        <f t="shared" si="1"/>
        <v>1</v>
      </c>
      <c r="F12">
        <f t="shared" si="2"/>
        <v>1</v>
      </c>
    </row>
    <row r="13" spans="2:6" x14ac:dyDescent="0.3">
      <c r="B13" s="2">
        <v>4</v>
      </c>
      <c r="C13" s="2">
        <v>4</v>
      </c>
      <c r="D13">
        <f t="shared" si="0"/>
        <v>4.9000000000000004</v>
      </c>
      <c r="E13">
        <f t="shared" si="1"/>
        <v>0.90000000000000036</v>
      </c>
      <c r="F13">
        <f t="shared" si="2"/>
        <v>0.81000000000000061</v>
      </c>
    </row>
    <row r="14" spans="2:6" x14ac:dyDescent="0.3">
      <c r="B14" s="2">
        <v>5</v>
      </c>
      <c r="C14" s="2">
        <v>6</v>
      </c>
      <c r="D14">
        <f t="shared" si="0"/>
        <v>5.8</v>
      </c>
      <c r="E14">
        <f t="shared" si="1"/>
        <v>0.20000000000000018</v>
      </c>
      <c r="F14">
        <f t="shared" si="2"/>
        <v>4.000000000000007E-2</v>
      </c>
    </row>
    <row r="16" spans="2:6" x14ac:dyDescent="0.3">
      <c r="D16" t="s">
        <v>10</v>
      </c>
      <c r="E16">
        <f>SUM(E10:E14)</f>
        <v>2.4000000000000008</v>
      </c>
      <c r="F16" t="s">
        <v>16</v>
      </c>
    </row>
    <row r="18" spans="2:10" x14ac:dyDescent="0.3">
      <c r="C18" t="s">
        <v>7</v>
      </c>
      <c r="D18" t="s">
        <v>8</v>
      </c>
    </row>
    <row r="19" spans="2:10" x14ac:dyDescent="0.3">
      <c r="B19" s="2" t="s">
        <v>5</v>
      </c>
      <c r="C19" s="2" t="s">
        <v>2</v>
      </c>
      <c r="D19" t="s">
        <v>9</v>
      </c>
      <c r="E19" t="s">
        <v>11</v>
      </c>
      <c r="F19" t="s">
        <v>12</v>
      </c>
      <c r="G19" t="s">
        <v>13</v>
      </c>
    </row>
    <row r="20" spans="2:10" x14ac:dyDescent="0.3">
      <c r="B20" s="2">
        <v>1</v>
      </c>
      <c r="C20" s="2">
        <v>2</v>
      </c>
      <c r="D20">
        <f>1.3+0.9*B20</f>
        <v>2.2000000000000002</v>
      </c>
      <c r="E20">
        <v>4</v>
      </c>
      <c r="F20">
        <f>C20-E20</f>
        <v>-2</v>
      </c>
      <c r="G20">
        <f>F20*F20</f>
        <v>4</v>
      </c>
      <c r="J20" t="s">
        <v>17</v>
      </c>
    </row>
    <row r="21" spans="2:10" x14ac:dyDescent="0.3">
      <c r="B21" s="2">
        <v>2</v>
      </c>
      <c r="C21" s="2">
        <v>3</v>
      </c>
      <c r="D21">
        <f t="shared" ref="D21:D24" si="3">1.3+0.9*B21</f>
        <v>3.1</v>
      </c>
      <c r="E21">
        <v>4</v>
      </c>
      <c r="F21">
        <f t="shared" ref="F21:F24" si="4">C21-E21</f>
        <v>-1</v>
      </c>
      <c r="G21">
        <f t="shared" ref="G21:G24" si="5">F21*F21</f>
        <v>1</v>
      </c>
      <c r="J21" t="s">
        <v>14</v>
      </c>
    </row>
    <row r="22" spans="2:10" x14ac:dyDescent="0.3">
      <c r="B22" s="2">
        <v>3</v>
      </c>
      <c r="C22" s="2">
        <v>5</v>
      </c>
      <c r="D22">
        <f t="shared" si="3"/>
        <v>4</v>
      </c>
      <c r="E22">
        <v>4</v>
      </c>
      <c r="F22">
        <f t="shared" si="4"/>
        <v>1</v>
      </c>
      <c r="G22">
        <f t="shared" si="5"/>
        <v>1</v>
      </c>
    </row>
    <row r="23" spans="2:10" x14ac:dyDescent="0.3">
      <c r="B23" s="2">
        <v>4</v>
      </c>
      <c r="C23" s="2">
        <v>4</v>
      </c>
      <c r="D23">
        <f t="shared" si="3"/>
        <v>4.9000000000000004</v>
      </c>
      <c r="E23">
        <v>4</v>
      </c>
      <c r="F23">
        <f t="shared" si="4"/>
        <v>0</v>
      </c>
      <c r="G23">
        <f t="shared" si="5"/>
        <v>0</v>
      </c>
    </row>
    <row r="24" spans="2:10" x14ac:dyDescent="0.3">
      <c r="B24" s="2">
        <v>5</v>
      </c>
      <c r="C24" s="2">
        <v>6</v>
      </c>
      <c r="D24">
        <f t="shared" si="3"/>
        <v>5.8</v>
      </c>
      <c r="E24">
        <v>4</v>
      </c>
      <c r="F24">
        <f t="shared" si="4"/>
        <v>2</v>
      </c>
      <c r="G24">
        <f t="shared" si="5"/>
        <v>4</v>
      </c>
    </row>
    <row r="26" spans="2:10" x14ac:dyDescent="0.3">
      <c r="F26" t="s">
        <v>14</v>
      </c>
      <c r="G26" s="4">
        <f>SUM(G20:G24)</f>
        <v>10</v>
      </c>
    </row>
    <row r="27" spans="2:10" x14ac:dyDescent="0.3">
      <c r="F27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52"/>
  <sheetViews>
    <sheetView tabSelected="1" topLeftCell="D7" zoomScale="153" zoomScaleNormal="175" workbookViewId="0">
      <selection activeCell="G60" sqref="G60"/>
    </sheetView>
  </sheetViews>
  <sheetFormatPr defaultRowHeight="14.4" x14ac:dyDescent="0.3"/>
  <cols>
    <col min="5" max="5" width="10.88671875" bestFit="1" customWidth="1"/>
  </cols>
  <sheetData>
    <row r="4" spans="3:12" x14ac:dyDescent="0.3">
      <c r="E4" t="s">
        <v>6</v>
      </c>
      <c r="K4" t="s">
        <v>22</v>
      </c>
    </row>
    <row r="5" spans="3:12" x14ac:dyDescent="0.3">
      <c r="C5" s="2" t="s">
        <v>5</v>
      </c>
      <c r="D5" s="2" t="s">
        <v>2</v>
      </c>
      <c r="E5" s="5" t="s">
        <v>18</v>
      </c>
      <c r="F5" s="5" t="s">
        <v>19</v>
      </c>
      <c r="G5" s="6" t="s">
        <v>14</v>
      </c>
      <c r="H5" s="7"/>
      <c r="I5" s="6" t="s">
        <v>17</v>
      </c>
      <c r="J5" s="7"/>
      <c r="K5" t="s">
        <v>21</v>
      </c>
    </row>
    <row r="6" spans="3:12" x14ac:dyDescent="0.3">
      <c r="C6" s="2">
        <v>1</v>
      </c>
      <c r="D6" s="2">
        <v>2</v>
      </c>
      <c r="E6" s="5">
        <f>1.3+0.9*C6</f>
        <v>2.2000000000000002</v>
      </c>
      <c r="F6" s="5">
        <f>AVERAGE(D6:D10)</f>
        <v>4</v>
      </c>
      <c r="G6" s="3">
        <f>D6-F6</f>
        <v>-2</v>
      </c>
      <c r="H6" s="3">
        <f>G6*G6</f>
        <v>4</v>
      </c>
      <c r="I6" s="3">
        <f>D6-E6</f>
        <v>-0.20000000000000018</v>
      </c>
      <c r="J6" s="3">
        <f>I6*I6</f>
        <v>4.000000000000007E-2</v>
      </c>
      <c r="K6">
        <f>E6-F6</f>
        <v>-1.7999999999999998</v>
      </c>
      <c r="L6">
        <f>K6*K6</f>
        <v>3.2399999999999993</v>
      </c>
    </row>
    <row r="7" spans="3:12" x14ac:dyDescent="0.3">
      <c r="C7" s="2">
        <v>2</v>
      </c>
      <c r="D7" s="2">
        <v>3</v>
      </c>
      <c r="E7" s="5">
        <f t="shared" ref="E7:E10" si="0">1.3+0.9*C7</f>
        <v>3.1</v>
      </c>
      <c r="F7" s="5">
        <v>4</v>
      </c>
      <c r="G7" s="3">
        <f t="shared" ref="G7:G10" si="1">D7-F7</f>
        <v>-1</v>
      </c>
      <c r="H7" s="3">
        <f t="shared" ref="H7:J10" si="2">G7*G7</f>
        <v>1</v>
      </c>
      <c r="I7" s="3">
        <f t="shared" ref="I7:I10" si="3">D7-E7</f>
        <v>-0.10000000000000009</v>
      </c>
      <c r="J7" s="3">
        <f t="shared" si="2"/>
        <v>1.0000000000000018E-2</v>
      </c>
      <c r="K7">
        <f t="shared" ref="K7:K10" si="4">E7-F7</f>
        <v>-0.89999999999999991</v>
      </c>
      <c r="L7">
        <f t="shared" ref="L7:L10" si="5">K7*K7</f>
        <v>0.80999999999999983</v>
      </c>
    </row>
    <row r="8" spans="3:12" x14ac:dyDescent="0.3">
      <c r="C8" s="2">
        <v>3</v>
      </c>
      <c r="D8" s="2">
        <v>5</v>
      </c>
      <c r="E8" s="5">
        <f t="shared" si="0"/>
        <v>4</v>
      </c>
      <c r="F8" s="5">
        <v>4</v>
      </c>
      <c r="G8" s="3">
        <f t="shared" si="1"/>
        <v>1</v>
      </c>
      <c r="H8" s="3">
        <f t="shared" si="2"/>
        <v>1</v>
      </c>
      <c r="I8" s="3">
        <f t="shared" si="3"/>
        <v>1</v>
      </c>
      <c r="J8" s="3">
        <f t="shared" si="2"/>
        <v>1</v>
      </c>
      <c r="K8">
        <f t="shared" si="4"/>
        <v>0</v>
      </c>
      <c r="L8">
        <f t="shared" si="5"/>
        <v>0</v>
      </c>
    </row>
    <row r="9" spans="3:12" x14ac:dyDescent="0.3">
      <c r="C9" s="2">
        <v>4</v>
      </c>
      <c r="D9" s="2">
        <v>4</v>
      </c>
      <c r="E9" s="5">
        <f t="shared" si="0"/>
        <v>4.9000000000000004</v>
      </c>
      <c r="F9" s="5">
        <v>4</v>
      </c>
      <c r="G9" s="3">
        <f t="shared" si="1"/>
        <v>0</v>
      </c>
      <c r="H9" s="3">
        <f t="shared" si="2"/>
        <v>0</v>
      </c>
      <c r="I9" s="3">
        <f t="shared" si="3"/>
        <v>-0.90000000000000036</v>
      </c>
      <c r="J9" s="3">
        <f t="shared" si="2"/>
        <v>0.81000000000000061</v>
      </c>
      <c r="K9">
        <f t="shared" si="4"/>
        <v>0.90000000000000036</v>
      </c>
      <c r="L9">
        <f t="shared" si="5"/>
        <v>0.81000000000000061</v>
      </c>
    </row>
    <row r="10" spans="3:12" x14ac:dyDescent="0.3">
      <c r="C10" s="2">
        <v>5</v>
      </c>
      <c r="D10" s="2">
        <v>6</v>
      </c>
      <c r="E10" s="5">
        <f t="shared" si="0"/>
        <v>5.8</v>
      </c>
      <c r="F10" s="5">
        <v>4</v>
      </c>
      <c r="G10" s="3">
        <f t="shared" si="1"/>
        <v>2</v>
      </c>
      <c r="H10" s="3">
        <f t="shared" si="2"/>
        <v>4</v>
      </c>
      <c r="I10" s="3">
        <f t="shared" si="3"/>
        <v>0.20000000000000018</v>
      </c>
      <c r="J10" s="3">
        <f t="shared" si="2"/>
        <v>4.000000000000007E-2</v>
      </c>
      <c r="K10">
        <f t="shared" si="4"/>
        <v>1.7999999999999998</v>
      </c>
      <c r="L10">
        <f t="shared" si="5"/>
        <v>3.2399999999999993</v>
      </c>
    </row>
    <row r="11" spans="3:12" x14ac:dyDescent="0.3">
      <c r="G11" s="3" t="s">
        <v>14</v>
      </c>
      <c r="H11" s="3">
        <f>SUM(H6:H10)</f>
        <v>10</v>
      </c>
      <c r="I11" s="3" t="s">
        <v>17</v>
      </c>
      <c r="J11" s="3">
        <f>SUM(J6:J10)</f>
        <v>1.9000000000000008</v>
      </c>
      <c r="L11">
        <f>SUM(L6:L10)</f>
        <v>8.0999999999999979</v>
      </c>
    </row>
    <row r="13" spans="3:12" x14ac:dyDescent="0.3">
      <c r="I13" t="s">
        <v>20</v>
      </c>
    </row>
    <row r="15" spans="3:12" x14ac:dyDescent="0.3">
      <c r="I15" t="s">
        <v>14</v>
      </c>
      <c r="J15" t="s">
        <v>17</v>
      </c>
      <c r="K15" t="s">
        <v>21</v>
      </c>
    </row>
    <row r="18" spans="7:12" x14ac:dyDescent="0.3">
      <c r="H18" t="s">
        <v>23</v>
      </c>
      <c r="K18" t="s">
        <v>24</v>
      </c>
    </row>
    <row r="19" spans="7:12" x14ac:dyDescent="0.3">
      <c r="I19" t="s">
        <v>14</v>
      </c>
      <c r="K19" t="s">
        <v>21</v>
      </c>
      <c r="L19" t="s">
        <v>17</v>
      </c>
    </row>
    <row r="21" spans="7:12" x14ac:dyDescent="0.3">
      <c r="G21" t="s">
        <v>26</v>
      </c>
      <c r="I21" t="s">
        <v>25</v>
      </c>
    </row>
    <row r="24" spans="7:12" x14ac:dyDescent="0.3">
      <c r="J24">
        <f>8.1/10</f>
        <v>0.80999999999999994</v>
      </c>
    </row>
    <row r="47" spans="5:7" x14ac:dyDescent="0.3">
      <c r="E47" s="1" t="s">
        <v>5</v>
      </c>
      <c r="F47" s="1" t="s">
        <v>2</v>
      </c>
      <c r="G47" t="s">
        <v>27</v>
      </c>
    </row>
    <row r="48" spans="5:7" x14ac:dyDescent="0.3">
      <c r="E48" s="1">
        <v>2</v>
      </c>
      <c r="F48" s="1">
        <v>1</v>
      </c>
    </row>
    <row r="49" spans="5:6" x14ac:dyDescent="0.3">
      <c r="E49" s="1">
        <v>3</v>
      </c>
      <c r="F49" s="1">
        <v>2</v>
      </c>
    </row>
    <row r="50" spans="5:6" x14ac:dyDescent="0.3">
      <c r="E50" s="1">
        <v>4</v>
      </c>
      <c r="F50" s="1">
        <v>3</v>
      </c>
    </row>
    <row r="51" spans="5:6" x14ac:dyDescent="0.3">
      <c r="E51" s="1">
        <v>1</v>
      </c>
      <c r="F51" s="1">
        <v>3</v>
      </c>
    </row>
    <row r="52" spans="5:6" x14ac:dyDescent="0.3">
      <c r="E52" s="1">
        <v>3</v>
      </c>
      <c r="F52" s="1">
        <v>4</v>
      </c>
    </row>
  </sheetData>
  <mergeCells count="2">
    <mergeCell ref="G5:H5"/>
    <mergeCell ref="I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2026-09-18T04:02:16Z</dcterms:created>
  <dcterms:modified xsi:type="dcterms:W3CDTF">2026-09-18T05:22:15Z</dcterms:modified>
</cp:coreProperties>
</file>